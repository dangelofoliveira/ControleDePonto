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date1904="1" codeName="worksheet" defaultThemeVersion="166925"/>
  <mc:AlternateContent xmlns:mc="http://schemas.openxmlformats.org/markup-compatibility/2006">
    <mc:Choice Requires="x15">
      <x15ac:absPath xmlns:x15ac="http://schemas.microsoft.com/office/spreadsheetml/2010/11/ac" url="C:\Users\dg_ha\Desktop\"/>
    </mc:Choice>
  </mc:AlternateContent>
  <xr:revisionPtr revIDLastSave="0" documentId="13_ncr:1_{60826FBB-F628-4507-BBDE-402A2C888174}" xr6:coauthVersionLast="46" xr6:coauthVersionMax="46" xr10:uidLastSave="{00000000-0000-0000-0000-000000000000}"/>
  <bookViews>
    <workbookView xWindow="-120" yWindow="-120" windowWidth="21840" windowHeight="13140" xr2:uid="{E3AFD160-FEA3-4F66-9A4E-521BFF9F89F5}"/>
  </bookViews>
  <sheets>
    <sheet name="Controle de Ponto" sheetId="1" r:id="rId1"/>
    <sheet name="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9" i="1"/>
  <c r="J43" i="1"/>
  <c r="J6" i="1"/>
  <c r="J44" i="1" l="1"/>
  <c r="D42" i="1"/>
  <c r="J42" i="1"/>
  <c r="D43" i="1"/>
  <c r="A46" i="1" l="1"/>
</calcChain>
</file>

<file path=xl/sharedStrings.xml><?xml version="1.0" encoding="utf-8"?>
<sst xmlns="http://schemas.openxmlformats.org/spreadsheetml/2006/main" count="94" uniqueCount="55">
  <si>
    <t>Saldo</t>
  </si>
  <si>
    <t>Assinatura</t>
  </si>
  <si>
    <t>____________________________________________</t>
  </si>
  <si>
    <t>ENTRADA</t>
  </si>
  <si>
    <t>SAÍDA</t>
  </si>
  <si>
    <t>Dados 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</si>
  <si>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</si>
  <si>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</si>
  <si>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</si>
  <si>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</si>
  <si>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</si>
  <si>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</si>
  <si>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</si>
  <si>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</si>
  <si>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</si>
  <si>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</si>
  <si>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</si>
  <si>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</si>
  <si>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CENTRO MÉDICO DE DIAGNÓSTICO</t>
  </si>
  <si>
    <t>Tatiana Gonçalves Cavalcante</t>
  </si>
  <si>
    <t>ALMOÇO</t>
  </si>
  <si>
    <t>RETORNO</t>
  </si>
  <si>
    <t>Dias
Mês</t>
  </si>
  <si>
    <t>Rua Francisco Raphael de Barros, 115 - Jardim Floresta - Manilha</t>
  </si>
  <si>
    <t xml:space="preserve">CEP: </t>
  </si>
  <si>
    <t xml:space="preserve">CNPJ: </t>
  </si>
  <si>
    <t xml:space="preserve">CIDADE: </t>
  </si>
  <si>
    <t>Itaboraí</t>
  </si>
  <si>
    <t xml:space="preserve">UF: </t>
  </si>
  <si>
    <t>RJ</t>
  </si>
  <si>
    <t xml:space="preserve">PIS/PASEP: </t>
  </si>
  <si>
    <t xml:space="preserve">FUNCIONÁRIO: </t>
  </si>
  <si>
    <t xml:space="preserve">TELEFONE: </t>
  </si>
  <si>
    <t xml:space="preserve">FUNÇÃO: </t>
  </si>
  <si>
    <t xml:space="preserve">DATA ADMISSÃO: </t>
  </si>
  <si>
    <t>Recepcionista</t>
  </si>
  <si>
    <t>RESUMO GERAL</t>
  </si>
  <si>
    <t>TOTAL BANCO DE HORAS</t>
  </si>
  <si>
    <t>TOTAL FALTAS</t>
  </si>
  <si>
    <t>Falta</t>
  </si>
  <si>
    <t>Atestado</t>
  </si>
  <si>
    <t>Abonado</t>
  </si>
  <si>
    <t>TOTAL HORAS ATESTADO</t>
  </si>
  <si>
    <t>TOTAL HORAS ABONADAS</t>
  </si>
  <si>
    <t>TOTAL HORAS TRABALHADAS</t>
  </si>
  <si>
    <t>TOTAL HORAS NEGATIVAS</t>
  </si>
  <si>
    <t>TOTAL HORAS POSITIVAS</t>
  </si>
  <si>
    <t>DADOS HORAS DIÁRIAS</t>
  </si>
  <si>
    <t>SALDO NEGATIVO</t>
  </si>
  <si>
    <t>SALDO POSITIVO</t>
  </si>
  <si>
    <t>&lt;Todos&gt;</t>
  </si>
  <si>
    <t>Combo Justificativa</t>
  </si>
  <si>
    <t>&lt;Escolha&gt;</t>
  </si>
  <si>
    <t>Justificativas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</si>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</sst>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\ #,##0.00"/>
    <numFmt numFmtId="165" formatCode="[hh]:mm"/>
    <numFmt numFmtId="166" formatCode="00&quot;.&quot;000&quot;.&quot;000&quot;/&quot;0000&quot;-&quot;00"/>
    <numFmt numFmtId="167" formatCode="000&quot;.&quot;00000&quot;.&quot;00&quot;-&quot;0"/>
    <numFmt numFmtId="168" formatCode="00&quot;.&quot;000&quot;-&quot;000"/>
    <numFmt numFmtId="169" formatCode="&quot;(&quot;00&quot;)&quot;"/>
    <numFmt numFmtId="170" formatCode="0000&quot;-&quot;0000"/>
    <numFmt numFmtId="171" formatCode="dd/mm/yy;@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mediumGray">
        <fgColor theme="0" tint="-0.149967955565050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7" xfId="0" applyBorder="1" applyAlignment="1">
      <alignment horizontal="center"/>
    </xf>
    <xf numFmtId="20" fontId="2" fillId="0" borderId="15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4" fontId="2" fillId="0" borderId="22" xfId="0" applyNumberFormat="1" applyFont="1" applyBorder="1" applyAlignment="1"/>
    <xf numFmtId="171" fontId="0" fillId="0" borderId="22" xfId="0" applyNumberFormat="1" applyFont="1" applyBorder="1" applyAlignment="1"/>
    <xf numFmtId="0" fontId="2" fillId="0" borderId="22" xfId="0" applyFont="1" applyBorder="1" applyAlignment="1">
      <alignment horizontal="right"/>
    </xf>
    <xf numFmtId="0" fontId="0" fillId="0" borderId="24" xfId="0" applyFont="1" applyBorder="1" applyAlignment="1">
      <alignment horizontal="center"/>
    </xf>
    <xf numFmtId="0" fontId="4" fillId="0" borderId="22" xfId="0" applyFont="1" applyBorder="1" applyAlignment="1"/>
    <xf numFmtId="169" fontId="0" fillId="0" borderId="23" xfId="0" applyNumberFormat="1" applyFont="1" applyBorder="1" applyAlignment="1"/>
    <xf numFmtId="0" fontId="0" fillId="2" borderId="1" xfId="0" applyFill="1" applyBorder="1" applyAlignment="1">
      <alignment horizontal="center"/>
    </xf>
    <xf numFmtId="20" fontId="0" fillId="0" borderId="0" xfId="0" applyNumberFormat="1"/>
    <xf numFmtId="0" fontId="1" fillId="3" borderId="0" xfId="0" applyFont="1" applyFill="1"/>
    <xf numFmtId="0" fontId="0" fillId="4" borderId="0" xfId="0" applyFill="1"/>
    <xf numFmtId="165" fontId="0" fillId="0" borderId="0" xfId="0" applyNumberFormat="1"/>
    <xf numFmtId="0" fontId="7" fillId="0" borderId="0" xfId="0" applyFont="1"/>
    <xf numFmtId="20" fontId="0" fillId="0" borderId="0" xfId="0" applyNumberFormat="1" applyAlignment="1">
      <alignment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4" fontId="0" fillId="0" borderId="23" xfId="0" applyNumberFormat="1" applyFont="1" applyBorder="1" applyAlignment="1">
      <alignment horizontal="center"/>
    </xf>
    <xf numFmtId="164" fontId="0" fillId="0" borderId="26" xfId="0" applyNumberFormat="1" applyFont="1" applyBorder="1" applyAlignment="1">
      <alignment horizontal="center"/>
    </xf>
    <xf numFmtId="166" fontId="2" fillId="0" borderId="22" xfId="0" applyNumberFormat="1" applyFont="1" applyBorder="1" applyAlignment="1">
      <alignment horizontal="center"/>
    </xf>
    <xf numFmtId="166" fontId="2" fillId="0" borderId="23" xfId="0" applyNumberFormat="1" applyFont="1" applyBorder="1" applyAlignment="1">
      <alignment horizontal="center"/>
    </xf>
    <xf numFmtId="171" fontId="0" fillId="0" borderId="23" xfId="0" applyNumberFormat="1" applyFont="1" applyBorder="1" applyAlignment="1">
      <alignment horizontal="center"/>
    </xf>
    <xf numFmtId="171" fontId="0" fillId="0" borderId="24" xfId="0" applyNumberFormat="1" applyFont="1" applyBorder="1" applyAlignment="1">
      <alignment horizontal="center"/>
    </xf>
    <xf numFmtId="170" fontId="0" fillId="0" borderId="23" xfId="0" applyNumberFormat="1" applyFont="1" applyBorder="1" applyAlignment="1">
      <alignment horizontal="center"/>
    </xf>
    <xf numFmtId="170" fontId="0" fillId="0" borderId="24" xfId="0" applyNumberFormat="1" applyFont="1" applyBorder="1" applyAlignment="1">
      <alignment horizontal="center"/>
    </xf>
    <xf numFmtId="166" fontId="0" fillId="0" borderId="23" xfId="0" applyNumberFormat="1" applyFont="1" applyBorder="1" applyAlignment="1">
      <alignment horizontal="center"/>
    </xf>
    <xf numFmtId="166" fontId="0" fillId="0" borderId="29" xfId="0" applyNumberFormat="1" applyFont="1" applyBorder="1" applyAlignment="1">
      <alignment horizontal="center"/>
    </xf>
    <xf numFmtId="164" fontId="2" fillId="0" borderId="22" xfId="0" applyNumberFormat="1" applyFont="1" applyBorder="1" applyAlignment="1">
      <alignment horizontal="left"/>
    </xf>
    <xf numFmtId="164" fontId="2" fillId="0" borderId="23" xfId="0" applyNumberFormat="1" applyFont="1" applyBorder="1" applyAlignment="1">
      <alignment horizontal="left"/>
    </xf>
    <xf numFmtId="164" fontId="0" fillId="0" borderId="27" xfId="0" applyNumberFormat="1" applyFont="1" applyBorder="1" applyAlignment="1">
      <alignment horizontal="center"/>
    </xf>
    <xf numFmtId="164" fontId="0" fillId="0" borderId="28" xfId="0" applyNumberFormat="1" applyFont="1" applyBorder="1" applyAlignment="1">
      <alignment horizontal="center"/>
    </xf>
    <xf numFmtId="167" fontId="0" fillId="0" borderId="23" xfId="0" applyNumberFormat="1" applyFont="1" applyBorder="1" applyAlignment="1">
      <alignment horizontal="center"/>
    </xf>
    <xf numFmtId="167" fontId="0" fillId="0" borderId="24" xfId="0" applyNumberFormat="1" applyFont="1" applyBorder="1" applyAlignment="1">
      <alignment horizontal="center"/>
    </xf>
    <xf numFmtId="168" fontId="0" fillId="0" borderId="23" xfId="0" applyNumberFormat="1" applyFont="1" applyBorder="1" applyAlignment="1">
      <alignment horizontal="center"/>
    </xf>
    <xf numFmtId="168" fontId="0" fillId="0" borderId="24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wrapText="1"/>
    </xf>
    <xf numFmtId="0" fontId="2" fillId="0" borderId="20" xfId="0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</cellXfs>
  <cellStyles count="1">
    <cellStyle name="Normal" xfId="0" builtinId="0"/>
  </cellStyles>
  <dxfs count="2">
    <dxf>
      <font>
        <b/>
        <i/>
        <color rgb="FF0070C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219075</xdr:rowOff>
        </xdr:from>
        <xdr:to>
          <xdr:col>14</xdr:col>
          <xdr:colOff>19050</xdr:colOff>
          <xdr:row>7</xdr:row>
          <xdr:rowOff>19050</xdr:rowOff>
        </xdr:to>
        <xdr:sp macro="" textlink="">
          <xdr:nvSpPr>
            <xdr:cNvPr id="1096" name="comboBoxJustificativa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9523</xdr:rowOff>
        </xdr:from>
        <xdr:to>
          <xdr:col>9</xdr:col>
          <xdr:colOff>381000</xdr:colOff>
          <xdr:row>5</xdr:row>
          <xdr:rowOff>238124</xdr:rowOff>
        </xdr:to>
        <xdr:sp macro="" textlink="">
          <xdr:nvSpPr>
            <xdr:cNvPr id="1097" name="comboBoxMese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B1F1C-3720-42C6-9343-F76A84083168}">
  <sheetPr codeName="plan1"/>
  <dimension ref="A1:P46"/>
  <sheetViews>
    <sheetView tabSelected="1" workbookViewId="0">
      <selection activeCell="M13" sqref="M13"/>
    </sheetView>
  </sheetViews>
  <sheetFormatPr defaultColWidth="9.140625" defaultRowHeight="15" x14ac:dyDescent="0.25"/>
  <cols>
    <col min="1" max="1" width="9.140625" style="1"/>
    <col min="2" max="6" width="9.7109375" style="1" customWidth="1"/>
  </cols>
  <sheetData>
    <row r="1" spans="1:16" ht="15.75" thickBot="1" x14ac:dyDescent="0.3">
      <c r="A1" s="69"/>
      <c r="B1" s="70"/>
      <c r="C1" s="71"/>
      <c r="D1" s="78" t="s">
        <v>18</v>
      </c>
      <c r="E1" s="79"/>
      <c r="F1" s="79"/>
      <c r="G1" s="79"/>
      <c r="H1" s="79"/>
      <c r="I1" s="79"/>
      <c r="J1" s="79"/>
      <c r="K1" s="80"/>
      <c r="M1" s="18"/>
      <c r="N1" s="23" t="s">
        <v>48</v>
      </c>
      <c r="O1" s="23"/>
      <c r="P1" s="23"/>
    </row>
    <row r="2" spans="1:16" ht="15.75" thickBot="1" x14ac:dyDescent="0.3">
      <c r="A2" s="72"/>
      <c r="B2" s="73"/>
      <c r="C2" s="74"/>
      <c r="D2" s="81" t="s">
        <v>23</v>
      </c>
      <c r="E2" s="82"/>
      <c r="F2" s="82"/>
      <c r="G2" s="82"/>
      <c r="H2" s="82"/>
      <c r="I2" s="82"/>
      <c r="J2" s="82"/>
      <c r="K2" s="83"/>
      <c r="M2" s="19"/>
      <c r="N2" s="24" t="s">
        <v>49</v>
      </c>
      <c r="O2" s="24"/>
      <c r="P2" s="24"/>
    </row>
    <row r="3" spans="1:16" ht="15.75" thickBot="1" x14ac:dyDescent="0.3">
      <c r="A3" s="72"/>
      <c r="B3" s="73"/>
      <c r="C3" s="74"/>
      <c r="D3" s="12" t="s">
        <v>26</v>
      </c>
      <c r="E3" s="84" t="s">
        <v>27</v>
      </c>
      <c r="F3" s="85"/>
      <c r="G3" s="12" t="s">
        <v>28</v>
      </c>
      <c r="H3" s="13" t="s">
        <v>29</v>
      </c>
      <c r="I3" s="12" t="s">
        <v>24</v>
      </c>
      <c r="J3" s="54">
        <v>24809230</v>
      </c>
      <c r="K3" s="55"/>
    </row>
    <row r="4" spans="1:16" ht="15.75" thickBot="1" x14ac:dyDescent="0.3">
      <c r="A4" s="75"/>
      <c r="B4" s="76"/>
      <c r="C4" s="77"/>
      <c r="D4" s="12" t="s">
        <v>25</v>
      </c>
      <c r="E4" s="46">
        <v>25782983000102</v>
      </c>
      <c r="F4" s="46"/>
      <c r="G4" s="47"/>
      <c r="H4" s="14" t="s">
        <v>32</v>
      </c>
      <c r="I4" s="15">
        <v>21</v>
      </c>
      <c r="J4" s="44">
        <v>26351766</v>
      </c>
      <c r="K4" s="45"/>
    </row>
    <row r="5" spans="1:16" ht="15.75" thickBot="1" x14ac:dyDescent="0.3">
      <c r="A5" s="48" t="s">
        <v>31</v>
      </c>
      <c r="B5" s="49"/>
      <c r="C5" s="38" t="s">
        <v>19</v>
      </c>
      <c r="D5" s="38"/>
      <c r="E5" s="50"/>
      <c r="F5" s="50"/>
      <c r="G5" s="51"/>
      <c r="H5" s="14" t="s">
        <v>30</v>
      </c>
      <c r="I5" s="52">
        <v>22222222222</v>
      </c>
      <c r="J5" s="52"/>
      <c r="K5" s="53"/>
    </row>
    <row r="6" spans="1:16" ht="19.5" customHeight="1" thickBot="1" x14ac:dyDescent="0.3">
      <c r="A6" s="10" t="s">
        <v>33</v>
      </c>
      <c r="B6" s="38" t="s">
        <v>35</v>
      </c>
      <c r="C6" s="38"/>
      <c r="D6" s="39"/>
      <c r="E6" s="40" t="s">
        <v>34</v>
      </c>
      <c r="F6" s="41"/>
      <c r="G6" s="42">
        <v>42789</v>
      </c>
      <c r="H6" s="43"/>
      <c r="I6" s="11"/>
      <c r="J6" s="44" t="str">
        <f ca="1">TEXT(TODAY(), "AAAA")</f>
        <v>2021</v>
      </c>
      <c r="K6" s="45"/>
      <c r="M6" s="25" t="s">
        <v>53</v>
      </c>
      <c r="N6" s="25"/>
      <c r="O6" s="87"/>
      <c r="P6" s="87"/>
    </row>
    <row r="7" spans="1:16" x14ac:dyDescent="0.25">
      <c r="A7" s="58" t="s">
        <v>22</v>
      </c>
      <c r="B7" s="60" t="s">
        <v>3</v>
      </c>
      <c r="C7" s="56" t="s">
        <v>20</v>
      </c>
      <c r="D7" s="57"/>
      <c r="E7" s="62" t="s">
        <v>4</v>
      </c>
      <c r="F7" s="62" t="s">
        <v>0</v>
      </c>
      <c r="G7" s="63" t="s">
        <v>1</v>
      </c>
      <c r="H7" s="64"/>
      <c r="I7" s="64"/>
      <c r="J7" s="64"/>
      <c r="K7" s="65"/>
    </row>
    <row r="8" spans="1:16" ht="15.75" thickBot="1" x14ac:dyDescent="0.3">
      <c r="A8" s="59"/>
      <c r="B8" s="61"/>
      <c r="C8" s="5" t="s">
        <v>4</v>
      </c>
      <c r="D8" s="6" t="s">
        <v>21</v>
      </c>
      <c r="E8" s="61"/>
      <c r="F8" s="61"/>
      <c r="G8" s="66"/>
      <c r="H8" s="67"/>
      <c r="I8" s="67"/>
      <c r="J8" s="67"/>
      <c r="K8" s="68"/>
      <c r="N8" s="21"/>
      <c r="O8" s="21"/>
    </row>
    <row r="9" spans="1:16" ht="20.100000000000001" customHeight="1" x14ac:dyDescent="0.25">
      <c r="A9" s="7">
        <v>1</v>
      </c>
      <c r="B9" s="4">
        <v>0.33194444444444443</v>
      </c>
      <c r="C9" s="4">
        <v>0.50694444444444442</v>
      </c>
      <c r="D9" s="4">
        <v>0.55208333333333337</v>
      </c>
      <c r="E9" s="4">
        <v>0.64583333333333337</v>
      </c>
      <c r="F9" s="8">
        <f>IFERROR(IF(OR(B9="",C9="",D9="",E9=""),"",(E9-(D9-C9)-B9)-Dados!$A$18), "")</f>
        <v>-6.4583333333333326E-2</v>
      </c>
      <c r="G9" s="32" t="s">
        <v>2</v>
      </c>
      <c r="H9" s="32"/>
      <c r="I9" s="32"/>
      <c r="J9" s="32"/>
      <c r="K9" s="33"/>
      <c r="N9" s="22"/>
      <c r="O9" s="17"/>
    </row>
    <row r="10" spans="1:16" ht="20.100000000000001" customHeight="1" x14ac:dyDescent="0.25">
      <c r="A10" s="2">
        <v>2</v>
      </c>
      <c r="B10" s="4">
        <v>0.33194444444444443</v>
      </c>
      <c r="C10" s="4">
        <v>0.50694444444444442</v>
      </c>
      <c r="D10" s="4">
        <v>0.55208333333333337</v>
      </c>
      <c r="E10" s="4">
        <v>0.72916666666666663</v>
      </c>
      <c r="F10" s="8">
        <f>IFERROR(IF(OR(B10="",C10="",D10="",E10=""),"",(E10-(D10-C10)-B10)-Dados!$A$18), "")</f>
        <v>1.8749999999999933E-2</v>
      </c>
      <c r="G10" s="32" t="s">
        <v>2</v>
      </c>
      <c r="H10" s="32"/>
      <c r="I10" s="32"/>
      <c r="J10" s="32"/>
      <c r="K10" s="33"/>
      <c r="N10" s="20"/>
      <c r="O10" s="20"/>
    </row>
    <row r="11" spans="1:16" ht="20.100000000000001" customHeight="1" x14ac:dyDescent="0.25">
      <c r="A11" s="2">
        <v>3</v>
      </c>
      <c r="B11" s="4" t="s">
        <v>54</v>
      </c>
      <c r="C11" s="4" t="s">
        <v>54</v>
      </c>
      <c r="D11" s="4" t="s">
        <v>54</v>
      </c>
      <c r="E11" s="4" t="s">
        <v>54</v>
      </c>
      <c r="F11" s="8" t="str">
        <f>IFERROR(IF(OR(B11="",C11="",D11="",E11=""),"",(E11-(D11-C11)-B11)-Dados!$A$18), "")</f>
        <v/>
      </c>
      <c r="G11" s="32" t="s">
        <v>2</v>
      </c>
      <c r="H11" s="32"/>
      <c r="I11" s="32"/>
      <c r="J11" s="32"/>
      <c r="K11" s="33"/>
      <c r="N11" s="20"/>
    </row>
    <row r="12" spans="1:16" ht="20.100000000000001" customHeight="1" x14ac:dyDescent="0.25">
      <c r="A12" s="2">
        <v>4</v>
      </c>
      <c r="B12" s="4" t="s">
        <v>39</v>
      </c>
      <c r="C12" s="4" t="s">
        <v>39</v>
      </c>
      <c r="D12" s="4" t="s">
        <v>39</v>
      </c>
      <c r="E12" s="4" t="s">
        <v>39</v>
      </c>
      <c r="F12" s="8" t="str">
        <f>IFERROR(IF(OR(B12="",C12="",D12="",E12=""),"",(E12-(D12-C12)-B12)-Dados!$A$18), "")</f>
        <v/>
      </c>
      <c r="G12" s="32" t="s">
        <v>2</v>
      </c>
      <c r="H12" s="32"/>
      <c r="I12" s="32"/>
      <c r="J12" s="32"/>
      <c r="K12" s="33"/>
    </row>
    <row r="13" spans="1:16" ht="20.100000000000001" customHeight="1" x14ac:dyDescent="0.25">
      <c r="A13" s="2">
        <v>5</v>
      </c>
      <c r="B13" s="4"/>
      <c r="C13" s="4"/>
      <c r="D13" s="4"/>
      <c r="E13" s="4"/>
      <c r="F13" s="8" t="str">
        <f>IFERROR(IF(OR(B13="",C13="",D13="",E13=""),"",(E13-(D13-C13)-B13)-Dados!$A$18), "")</f>
        <v/>
      </c>
      <c r="G13" s="32" t="s">
        <v>2</v>
      </c>
      <c r="H13" s="32"/>
      <c r="I13" s="32"/>
      <c r="J13" s="32"/>
      <c r="K13" s="33"/>
    </row>
    <row r="14" spans="1:16" ht="20.100000000000001" customHeight="1" x14ac:dyDescent="0.25">
      <c r="A14" s="2">
        <v>6</v>
      </c>
      <c r="B14" s="4"/>
      <c r="C14" s="4"/>
      <c r="D14" s="4"/>
      <c r="E14" s="4"/>
      <c r="F14" s="8" t="str">
        <f>IFERROR(IF(OR(B14="",C14="",D14="",E14=""),"",(E14-(D14-C14)-B14)-Dados!$A$18), "")</f>
        <v/>
      </c>
      <c r="G14" s="32" t="s">
        <v>2</v>
      </c>
      <c r="H14" s="32"/>
      <c r="I14" s="32"/>
      <c r="J14" s="32"/>
      <c r="K14" s="33"/>
    </row>
    <row r="15" spans="1:16" ht="20.100000000000001" customHeight="1" x14ac:dyDescent="0.25">
      <c r="A15" s="2">
        <v>7</v>
      </c>
      <c r="B15" s="4"/>
      <c r="C15" s="4"/>
      <c r="D15" s="4"/>
      <c r="E15" s="4"/>
      <c r="F15" s="8" t="str">
        <f>IFERROR(IF(OR(B15="",C15="",D15="",E15=""),"",(E15-(D15-C15)-B15)-Dados!$A$18), "")</f>
        <v/>
      </c>
      <c r="G15" s="32" t="s">
        <v>2</v>
      </c>
      <c r="H15" s="32"/>
      <c r="I15" s="32"/>
      <c r="J15" s="32"/>
      <c r="K15" s="33"/>
    </row>
    <row r="16" spans="1:16" ht="20.100000000000001" customHeight="1" x14ac:dyDescent="0.25">
      <c r="A16" s="2">
        <v>8</v>
      </c>
      <c r="B16" s="4"/>
      <c r="C16" s="4"/>
      <c r="D16" s="4"/>
      <c r="E16" s="4"/>
      <c r="F16" s="8" t="str">
        <f>IFERROR(IF(OR(B16="",C16="",D16="",E16=""),"",(E16-(D16-C16)-B16)-Dados!$A$18), "")</f>
        <v/>
      </c>
      <c r="G16" s="32" t="s">
        <v>2</v>
      </c>
      <c r="H16" s="32"/>
      <c r="I16" s="32"/>
      <c r="J16" s="32"/>
      <c r="K16" s="33"/>
    </row>
    <row r="17" spans="1:11" ht="20.100000000000001" customHeight="1" x14ac:dyDescent="0.25">
      <c r="A17" s="2">
        <v>9</v>
      </c>
      <c r="B17" s="4"/>
      <c r="C17" s="4"/>
      <c r="D17" s="4"/>
      <c r="E17" s="4"/>
      <c r="F17" s="8" t="str">
        <f>IFERROR(IF(OR(B17="",C17="",D17="",E17=""),"",(E17-(D17-C17)-B17)-Dados!$A$18), "")</f>
        <v/>
      </c>
      <c r="G17" s="32" t="s">
        <v>2</v>
      </c>
      <c r="H17" s="32"/>
      <c r="I17" s="32"/>
      <c r="J17" s="32"/>
      <c r="K17" s="33"/>
    </row>
    <row r="18" spans="1:11" ht="20.100000000000001" customHeight="1" x14ac:dyDescent="0.25">
      <c r="A18" s="2">
        <v>10</v>
      </c>
      <c r="B18" s="4"/>
      <c r="C18" s="4"/>
      <c r="D18" s="4"/>
      <c r="E18" s="4"/>
      <c r="F18" s="8" t="str">
        <f>IFERROR(IF(OR(B18="",C18="",D18="",E18=""),"",(E18-(D18-C18)-B18)-Dados!$A$18), "")</f>
        <v/>
      </c>
      <c r="G18" s="32" t="s">
        <v>2</v>
      </c>
      <c r="H18" s="32"/>
      <c r="I18" s="32"/>
      <c r="J18" s="32"/>
      <c r="K18" s="33"/>
    </row>
    <row r="19" spans="1:11" ht="20.100000000000001" customHeight="1" x14ac:dyDescent="0.25">
      <c r="A19" s="2">
        <v>11</v>
      </c>
      <c r="B19" s="4"/>
      <c r="C19" s="4"/>
      <c r="D19" s="4"/>
      <c r="E19" s="4"/>
      <c r="F19" s="8" t="str">
        <f>IFERROR(IF(OR(B19="",C19="",D19="",E19=""),"",(E19-(D19-C19)-B19)-Dados!$A$18), "")</f>
        <v/>
      </c>
      <c r="G19" s="32" t="s">
        <v>2</v>
      </c>
      <c r="H19" s="32"/>
      <c r="I19" s="32"/>
      <c r="J19" s="32"/>
      <c r="K19" s="33"/>
    </row>
    <row r="20" spans="1:11" ht="20.100000000000001" customHeight="1" x14ac:dyDescent="0.25">
      <c r="A20" s="2">
        <v>12</v>
      </c>
      <c r="B20" s="4"/>
      <c r="C20" s="4"/>
      <c r="D20" s="4"/>
      <c r="E20" s="4"/>
      <c r="F20" s="8" t="str">
        <f>IFERROR(IF(OR(B20="",C20="",D20="",E20=""),"",(E20-(D20-C20)-B20)-Dados!$A$18), "")</f>
        <v/>
      </c>
      <c r="G20" s="32" t="s">
        <v>2</v>
      </c>
      <c r="H20" s="32"/>
      <c r="I20" s="32"/>
      <c r="J20" s="32"/>
      <c r="K20" s="33"/>
    </row>
    <row r="21" spans="1:11" ht="20.100000000000001" customHeight="1" x14ac:dyDescent="0.25">
      <c r="A21" s="2">
        <v>13</v>
      </c>
      <c r="B21" s="4"/>
      <c r="C21" s="4"/>
      <c r="D21" s="4"/>
      <c r="E21" s="4"/>
      <c r="F21" s="8" t="str">
        <f>IFERROR(IF(OR(B21="",C21="",D21="",E21=""),"",(E21-(D21-C21)-B21)-Dados!$A$18), "")</f>
        <v/>
      </c>
      <c r="G21" s="32" t="s">
        <v>2</v>
      </c>
      <c r="H21" s="32"/>
      <c r="I21" s="32"/>
      <c r="J21" s="32"/>
      <c r="K21" s="33"/>
    </row>
    <row r="22" spans="1:11" ht="20.100000000000001" customHeight="1" x14ac:dyDescent="0.25">
      <c r="A22" s="2">
        <v>14</v>
      </c>
      <c r="B22" s="4"/>
      <c r="C22" s="4"/>
      <c r="D22" s="4"/>
      <c r="E22" s="4"/>
      <c r="F22" s="8" t="str">
        <f>IFERROR(IF(OR(B22="",C22="",D22="",E22=""),"",(E22-(D22-C22)-B22)-Dados!$A$18), "")</f>
        <v/>
      </c>
      <c r="G22" s="32" t="s">
        <v>2</v>
      </c>
      <c r="H22" s="32"/>
      <c r="I22" s="32"/>
      <c r="J22" s="32"/>
      <c r="K22" s="33"/>
    </row>
    <row r="23" spans="1:11" ht="20.100000000000001" customHeight="1" x14ac:dyDescent="0.25">
      <c r="A23" s="2">
        <v>15</v>
      </c>
      <c r="B23" s="4"/>
      <c r="C23" s="4"/>
      <c r="D23" s="4"/>
      <c r="E23" s="4"/>
      <c r="F23" s="8" t="str">
        <f>IFERROR(IF(OR(B23="",C23="",D23="",E23=""),"",(E23-(D23-C23)-B23)-Dados!$A$18), "")</f>
        <v/>
      </c>
      <c r="G23" s="32" t="s">
        <v>2</v>
      </c>
      <c r="H23" s="32"/>
      <c r="I23" s="32"/>
      <c r="J23" s="32"/>
      <c r="K23" s="33"/>
    </row>
    <row r="24" spans="1:11" ht="20.100000000000001" customHeight="1" x14ac:dyDescent="0.25">
      <c r="A24" s="2">
        <v>16</v>
      </c>
      <c r="B24" s="4"/>
      <c r="C24" s="4"/>
      <c r="D24" s="4"/>
      <c r="E24" s="4"/>
      <c r="F24" s="8" t="str">
        <f>IFERROR(IF(OR(B24="",C24="",D24="",E24=""),"",(E24-(D24-C24)-B24)-Dados!$A$18), "")</f>
        <v/>
      </c>
      <c r="G24" s="32" t="s">
        <v>2</v>
      </c>
      <c r="H24" s="32"/>
      <c r="I24" s="32"/>
      <c r="J24" s="32"/>
      <c r="K24" s="33"/>
    </row>
    <row r="25" spans="1:11" ht="20.100000000000001" customHeight="1" x14ac:dyDescent="0.25">
      <c r="A25" s="2">
        <v>17</v>
      </c>
      <c r="B25" s="4"/>
      <c r="C25" s="4"/>
      <c r="D25" s="4"/>
      <c r="E25" s="4"/>
      <c r="F25" s="8" t="str">
        <f>IFERROR(IF(OR(B25="",C25="",D25="",E25=""),"",(E25-(D25-C25)-B25)-Dados!$A$18), "")</f>
        <v/>
      </c>
      <c r="G25" s="32" t="s">
        <v>2</v>
      </c>
      <c r="H25" s="32"/>
      <c r="I25" s="32"/>
      <c r="J25" s="32"/>
      <c r="K25" s="33"/>
    </row>
    <row r="26" spans="1:11" ht="20.100000000000001" customHeight="1" x14ac:dyDescent="0.25">
      <c r="A26" s="2">
        <v>18</v>
      </c>
      <c r="B26" s="4"/>
      <c r="C26" s="4"/>
      <c r="D26" s="4"/>
      <c r="E26" s="4"/>
      <c r="F26" s="8" t="str">
        <f>IFERROR(IF(OR(B26="",C26="",D26="",E26=""),"",(E26-(D26-C26)-B26)-Dados!$A$18), "")</f>
        <v/>
      </c>
      <c r="G26" s="32" t="s">
        <v>2</v>
      </c>
      <c r="H26" s="32"/>
      <c r="I26" s="32"/>
      <c r="J26" s="32"/>
      <c r="K26" s="33"/>
    </row>
    <row r="27" spans="1:11" ht="20.100000000000001" customHeight="1" x14ac:dyDescent="0.25">
      <c r="A27" s="2">
        <v>19</v>
      </c>
      <c r="B27" s="4"/>
      <c r="C27" s="4"/>
      <c r="D27" s="4"/>
      <c r="E27" s="4"/>
      <c r="F27" s="8" t="str">
        <f>IFERROR(IF(OR(B27="",C27="",D27="",E27=""),"",(E27-(D27-C27)-B27)-Dados!$A$18), "")</f>
        <v/>
      </c>
      <c r="G27" s="32" t="s">
        <v>2</v>
      </c>
      <c r="H27" s="32"/>
      <c r="I27" s="32"/>
      <c r="J27" s="32"/>
      <c r="K27" s="33"/>
    </row>
    <row r="28" spans="1:11" ht="20.100000000000001" customHeight="1" x14ac:dyDescent="0.25">
      <c r="A28" s="2">
        <v>20</v>
      </c>
      <c r="B28" s="4"/>
      <c r="C28" s="4"/>
      <c r="D28" s="4"/>
      <c r="E28" s="4"/>
      <c r="F28" s="8" t="str">
        <f>IFERROR(IF(OR(B28="",C28="",D28="",E28=""),"",(E28-(D28-C28)-B28)-Dados!$A$18), "")</f>
        <v/>
      </c>
      <c r="G28" s="32" t="s">
        <v>2</v>
      </c>
      <c r="H28" s="32"/>
      <c r="I28" s="32"/>
      <c r="J28" s="32"/>
      <c r="K28" s="33"/>
    </row>
    <row r="29" spans="1:11" ht="20.100000000000001" customHeight="1" x14ac:dyDescent="0.25">
      <c r="A29" s="2">
        <v>21</v>
      </c>
      <c r="B29" s="4"/>
      <c r="C29" s="4"/>
      <c r="D29" s="4"/>
      <c r="E29" s="4"/>
      <c r="F29" s="8" t="str">
        <f>IFERROR(IF(OR(B29="",C29="",D29="",E29=""),"",(E29-(D29-C29)-B29)-Dados!$A$18), "")</f>
        <v/>
      </c>
      <c r="G29" s="32" t="s">
        <v>2</v>
      </c>
      <c r="H29" s="32"/>
      <c r="I29" s="32"/>
      <c r="J29" s="32"/>
      <c r="K29" s="33"/>
    </row>
    <row r="30" spans="1:11" ht="20.100000000000001" customHeight="1" x14ac:dyDescent="0.25">
      <c r="A30" s="2">
        <v>22</v>
      </c>
      <c r="B30" s="4"/>
      <c r="C30" s="4"/>
      <c r="D30" s="4"/>
      <c r="E30" s="4"/>
      <c r="F30" s="8" t="str">
        <f>IFERROR(IF(OR(B30="",C30="",D30="",E30=""),"",(E30-(D30-C30)-B30)-Dados!$A$18), "")</f>
        <v/>
      </c>
      <c r="G30" s="32" t="s">
        <v>2</v>
      </c>
      <c r="H30" s="32"/>
      <c r="I30" s="32"/>
      <c r="J30" s="32"/>
      <c r="K30" s="33"/>
    </row>
    <row r="31" spans="1:11" ht="20.100000000000001" customHeight="1" x14ac:dyDescent="0.25">
      <c r="A31" s="2">
        <v>23</v>
      </c>
      <c r="B31" s="4"/>
      <c r="C31" s="4"/>
      <c r="D31" s="4"/>
      <c r="E31" s="4"/>
      <c r="F31" s="8" t="str">
        <f>IFERROR(IF(OR(B31="",C31="",D31="",E31=""),"",(E31-(D31-C31)-B31)-Dados!$A$18), "")</f>
        <v/>
      </c>
      <c r="G31" s="32" t="s">
        <v>2</v>
      </c>
      <c r="H31" s="32"/>
      <c r="I31" s="32"/>
      <c r="J31" s="32"/>
      <c r="K31" s="33"/>
    </row>
    <row r="32" spans="1:11" ht="20.100000000000001" customHeight="1" x14ac:dyDescent="0.25">
      <c r="A32" s="2">
        <v>24</v>
      </c>
      <c r="B32" s="4"/>
      <c r="C32" s="4"/>
      <c r="D32" s="4"/>
      <c r="E32" s="4"/>
      <c r="F32" s="8" t="str">
        <f>IFERROR(IF(OR(B32="",C32="",D32="",E32=""),"",(E32-(D32-C32)-B32)-Dados!$A$18), "")</f>
        <v/>
      </c>
      <c r="G32" s="32" t="s">
        <v>2</v>
      </c>
      <c r="H32" s="32"/>
      <c r="I32" s="32"/>
      <c r="J32" s="32"/>
      <c r="K32" s="33"/>
    </row>
    <row r="33" spans="1:11" ht="20.100000000000001" customHeight="1" x14ac:dyDescent="0.25">
      <c r="A33" s="2">
        <v>25</v>
      </c>
      <c r="B33" s="4"/>
      <c r="C33" s="4"/>
      <c r="D33" s="4"/>
      <c r="E33" s="4"/>
      <c r="F33" s="8" t="str">
        <f>IFERROR(IF(OR(B33="",C33="",D33="",E33=""),"",(E33-(D33-C33)-B33)-Dados!$A$18), "")</f>
        <v/>
      </c>
      <c r="G33" s="32" t="s">
        <v>2</v>
      </c>
      <c r="H33" s="32"/>
      <c r="I33" s="32"/>
      <c r="J33" s="32"/>
      <c r="K33" s="33"/>
    </row>
    <row r="34" spans="1:11" ht="20.100000000000001" customHeight="1" x14ac:dyDescent="0.25">
      <c r="A34" s="2">
        <v>26</v>
      </c>
      <c r="B34" s="4"/>
      <c r="C34" s="4"/>
      <c r="D34" s="4"/>
      <c r="E34" s="4"/>
      <c r="F34" s="8" t="str">
        <f>IFERROR(IF(OR(B34="",C34="",D34="",E34=""),"",(E34-(D34-C34)-B34)-Dados!$A$18), "")</f>
        <v/>
      </c>
      <c r="G34" s="32" t="s">
        <v>2</v>
      </c>
      <c r="H34" s="32"/>
      <c r="I34" s="32"/>
      <c r="J34" s="32"/>
      <c r="K34" s="33"/>
    </row>
    <row r="35" spans="1:11" ht="20.100000000000001" customHeight="1" x14ac:dyDescent="0.25">
      <c r="A35" s="2">
        <v>27</v>
      </c>
      <c r="B35" s="4"/>
      <c r="C35" s="4"/>
      <c r="D35" s="4"/>
      <c r="E35" s="4"/>
      <c r="F35" s="8" t="str">
        <f>IFERROR(IF(OR(B35="",C35="",D35="",E35=""),"",(E35-(D35-C35)-B35)-Dados!$A$18), "")</f>
        <v/>
      </c>
      <c r="G35" s="32" t="s">
        <v>2</v>
      </c>
      <c r="H35" s="32"/>
      <c r="I35" s="32"/>
      <c r="J35" s="32"/>
      <c r="K35" s="33"/>
    </row>
    <row r="36" spans="1:11" ht="20.100000000000001" customHeight="1" x14ac:dyDescent="0.25">
      <c r="A36" s="2">
        <v>28</v>
      </c>
      <c r="B36" s="4"/>
      <c r="C36" s="4"/>
      <c r="D36" s="4"/>
      <c r="E36" s="4"/>
      <c r="F36" s="8" t="str">
        <f>IFERROR(IF(OR(B36="",C36="",D36="",E36=""),"",(E36-(D36-C36)-B36)-Dados!$A$18), "")</f>
        <v/>
      </c>
      <c r="G36" s="32" t="s">
        <v>2</v>
      </c>
      <c r="H36" s="32"/>
      <c r="I36" s="32"/>
      <c r="J36" s="32"/>
      <c r="K36" s="33"/>
    </row>
    <row r="37" spans="1:11" ht="20.100000000000001" customHeight="1" x14ac:dyDescent="0.25">
      <c r="A37" s="2">
        <v>29</v>
      </c>
      <c r="B37" s="4"/>
      <c r="C37" s="4"/>
      <c r="D37" s="4"/>
      <c r="E37" s="4"/>
      <c r="F37" s="8" t="str">
        <f>IFERROR(IF(OR(B37="",C37="",D37="",E37=""),"",(E37-(D37-C37)-B37)-Dados!$A$18), "")</f>
        <v/>
      </c>
      <c r="G37" s="32" t="s">
        <v>2</v>
      </c>
      <c r="H37" s="32"/>
      <c r="I37" s="32"/>
      <c r="J37" s="32"/>
      <c r="K37" s="33"/>
    </row>
    <row r="38" spans="1:11" ht="20.100000000000001" customHeight="1" x14ac:dyDescent="0.25">
      <c r="A38" s="2">
        <v>30</v>
      </c>
      <c r="B38" s="4"/>
      <c r="C38" s="4"/>
      <c r="D38" s="4"/>
      <c r="E38" s="4"/>
      <c r="F38" s="8" t="str">
        <f>IFERROR(IF(OR(B38="",C38="",D38="",E38=""),"",(E38-(D38-C38)-B38)-Dados!$A$18), "")</f>
        <v/>
      </c>
      <c r="G38" s="32" t="s">
        <v>2</v>
      </c>
      <c r="H38" s="32"/>
      <c r="I38" s="32"/>
      <c r="J38" s="32"/>
      <c r="K38" s="33"/>
    </row>
    <row r="39" spans="1:11" ht="20.100000000000001" customHeight="1" thickBot="1" x14ac:dyDescent="0.3">
      <c r="A39" s="3">
        <v>31</v>
      </c>
      <c r="B39" s="9"/>
      <c r="C39" s="9"/>
      <c r="D39" s="9"/>
      <c r="E39" s="9"/>
      <c r="F39" s="8" t="str">
        <f>IFERROR(IF(OR(B39="",C39="",D39="",E39=""),"",(E39-(D39-C39)-B39)-Dados!$A$18), "")</f>
        <v/>
      </c>
      <c r="G39" s="30" t="s">
        <v>2</v>
      </c>
      <c r="H39" s="30"/>
      <c r="I39" s="30"/>
      <c r="J39" s="30"/>
      <c r="K39" s="31"/>
    </row>
    <row r="40" spans="1:11" ht="15.75" thickBot="1" x14ac:dyDescent="0.3"/>
    <row r="41" spans="1:11" ht="18.75" x14ac:dyDescent="0.3">
      <c r="A41" s="35" t="s">
        <v>36</v>
      </c>
      <c r="B41" s="36"/>
      <c r="C41" s="36"/>
      <c r="D41" s="36"/>
      <c r="E41" s="36"/>
      <c r="F41" s="36"/>
      <c r="G41" s="36"/>
      <c r="H41" s="36"/>
      <c r="I41" s="36"/>
      <c r="J41" s="36"/>
      <c r="K41" s="37"/>
    </row>
    <row r="42" spans="1:11" x14ac:dyDescent="0.25">
      <c r="A42" s="27" t="s">
        <v>42</v>
      </c>
      <c r="B42" s="26"/>
      <c r="C42" s="26"/>
      <c r="D42" s="32">
        <f ca="1">SUMIF(B9:E39,"Atestado",F9:F39)</f>
        <v>0</v>
      </c>
      <c r="E42" s="32"/>
      <c r="F42" s="16"/>
      <c r="G42" s="26" t="s">
        <v>43</v>
      </c>
      <c r="H42" s="26"/>
      <c r="I42" s="26"/>
      <c r="J42" s="32">
        <f ca="1">SUMIF(B9:E39,"Abonado",F9:F39)</f>
        <v>0</v>
      </c>
      <c r="K42" s="33"/>
    </row>
    <row r="43" spans="1:11" x14ac:dyDescent="0.25">
      <c r="A43" s="27" t="s">
        <v>44</v>
      </c>
      <c r="B43" s="26"/>
      <c r="C43" s="26"/>
      <c r="D43" s="34">
        <f>SUM(F9:F39)</f>
        <v>-4.5833333333333393E-2</v>
      </c>
      <c r="E43" s="32"/>
      <c r="F43" s="16"/>
      <c r="G43" s="26" t="s">
        <v>38</v>
      </c>
      <c r="H43" s="26"/>
      <c r="I43" s="26"/>
      <c r="J43" s="32">
        <f ca="1">SUMIF(B9:E39,"Falta",F9:F39)</f>
        <v>0</v>
      </c>
      <c r="K43" s="33"/>
    </row>
    <row r="44" spans="1:11" x14ac:dyDescent="0.25">
      <c r="A44" s="27" t="s">
        <v>45</v>
      </c>
      <c r="B44" s="26"/>
      <c r="C44" s="26"/>
      <c r="D44" s="32">
        <v>0</v>
      </c>
      <c r="E44" s="32"/>
      <c r="F44" s="16"/>
      <c r="G44" s="26" t="s">
        <v>46</v>
      </c>
      <c r="H44" s="26"/>
      <c r="I44" s="26"/>
      <c r="J44" s="32">
        <f ca="1">SUMIF(B9:E39,"Falta",F9:F39)</f>
        <v>0</v>
      </c>
      <c r="K44" s="33"/>
    </row>
    <row r="45" spans="1:11" x14ac:dyDescent="0.25">
      <c r="A45" s="27" t="s">
        <v>37</v>
      </c>
      <c r="B45" s="26"/>
      <c r="C45" s="26"/>
      <c r="D45" s="26"/>
      <c r="E45" s="26"/>
      <c r="F45" s="26"/>
      <c r="G45" s="26"/>
      <c r="H45" s="26"/>
      <c r="I45" s="26"/>
      <c r="J45" s="26"/>
      <c r="K45" s="28"/>
    </row>
    <row r="46" spans="1:11" ht="15.75" thickBot="1" x14ac:dyDescent="0.3">
      <c r="A46" s="29">
        <f ca="1">SUM(D43,D42,J42,J44)-SUM(J43,D44)</f>
        <v>-4.5833333333333393E-2</v>
      </c>
      <c r="B46" s="30"/>
      <c r="C46" s="30"/>
      <c r="D46" s="30"/>
      <c r="E46" s="30"/>
      <c r="F46" s="30"/>
      <c r="G46" s="30"/>
      <c r="H46" s="30"/>
      <c r="I46" s="30"/>
      <c r="J46" s="30"/>
      <c r="K46" s="31"/>
    </row>
  </sheetData>
  <mergeCells count="69">
    <mergeCell ref="M6:N6"/>
    <mergeCell ref="G19:K19"/>
    <mergeCell ref="G9:K9"/>
    <mergeCell ref="G10:K10"/>
    <mergeCell ref="G11:K11"/>
    <mergeCell ref="G12:K12"/>
    <mergeCell ref="G13:K13"/>
    <mergeCell ref="G14:K14"/>
    <mergeCell ref="G15:K15"/>
    <mergeCell ref="G16:K16"/>
    <mergeCell ref="G17:K17"/>
    <mergeCell ref="G18:K18"/>
    <mergeCell ref="G29:K29"/>
    <mergeCell ref="G30:K30"/>
    <mergeCell ref="G31:K31"/>
    <mergeCell ref="G20:K20"/>
    <mergeCell ref="G21:K21"/>
    <mergeCell ref="G22:K22"/>
    <mergeCell ref="G23:K23"/>
    <mergeCell ref="G24:K24"/>
    <mergeCell ref="G25:K25"/>
    <mergeCell ref="G38:K38"/>
    <mergeCell ref="G39:K39"/>
    <mergeCell ref="A1:C4"/>
    <mergeCell ref="D1:K1"/>
    <mergeCell ref="D2:K2"/>
    <mergeCell ref="E3:F3"/>
    <mergeCell ref="J4:K4"/>
    <mergeCell ref="G32:K32"/>
    <mergeCell ref="G33:K33"/>
    <mergeCell ref="G34:K34"/>
    <mergeCell ref="G35:K35"/>
    <mergeCell ref="G36:K36"/>
    <mergeCell ref="G37:K37"/>
    <mergeCell ref="G26:K26"/>
    <mergeCell ref="G27:K27"/>
    <mergeCell ref="G28:K28"/>
    <mergeCell ref="A7:A8"/>
    <mergeCell ref="B7:B8"/>
    <mergeCell ref="E7:E8"/>
    <mergeCell ref="F7:F8"/>
    <mergeCell ref="G7:K8"/>
    <mergeCell ref="A46:K46"/>
    <mergeCell ref="J42:K42"/>
    <mergeCell ref="J43:K43"/>
    <mergeCell ref="J44:K44"/>
    <mergeCell ref="G42:I42"/>
    <mergeCell ref="A42:C42"/>
    <mergeCell ref="D42:E42"/>
    <mergeCell ref="A43:C43"/>
    <mergeCell ref="D43:E43"/>
    <mergeCell ref="G43:I43"/>
    <mergeCell ref="D44:E44"/>
    <mergeCell ref="A44:C44"/>
    <mergeCell ref="N1:P1"/>
    <mergeCell ref="N2:P2"/>
    <mergeCell ref="G44:I44"/>
    <mergeCell ref="A45:K45"/>
    <mergeCell ref="A41:K41"/>
    <mergeCell ref="B6:D6"/>
    <mergeCell ref="E6:F6"/>
    <mergeCell ref="G6:H6"/>
    <mergeCell ref="J6:K6"/>
    <mergeCell ref="E4:G4"/>
    <mergeCell ref="A5:B5"/>
    <mergeCell ref="C5:G5"/>
    <mergeCell ref="I5:K5"/>
    <mergeCell ref="J3:K3"/>
    <mergeCell ref="C7:D7"/>
  </mergeCells>
  <phoneticPr fontId="3" type="noConversion"/>
  <conditionalFormatting sqref="F9:F39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4">
    <dataValidation type="time" allowBlank="1" showInputMessage="1" showErrorMessage="1" errorTitle="Entrada" error="Insira uma hora válida para a entrada." sqref="B9:B39" xr:uid="{57E291EB-3F82-4B6E-B7D3-5880B7E687B3}">
      <formula1>0.0000115740740740741</formula1>
      <formula2>0.999988425925926</formula2>
    </dataValidation>
    <dataValidation type="time" allowBlank="1" showInputMessage="1" showErrorMessage="1" errorTitle="Saída Almoço" error="Insira uma hora válida para a saída para o almoço." sqref="C9:C39" xr:uid="{ABBE4D09-1527-47DC-88D8-46715724396F}">
      <formula1>0.0000115740740740741</formula1>
      <formula2>0.999988425925926</formula2>
    </dataValidation>
    <dataValidation type="time" allowBlank="1" showInputMessage="1" showErrorMessage="1" errorTitle="Retorno Almoço" error="Insira uma hora válida para o retorno do almoço." sqref="D9:D39" xr:uid="{A97638C9-C517-44F1-8449-822B404DE992}">
      <formula1>0.0000115740740740741</formula1>
      <formula2>0.999988425925926</formula2>
    </dataValidation>
    <dataValidation type="time" allowBlank="1" showInputMessage="1" showErrorMessage="1" errorTitle="Saída" error="Insira uma hora válida para a saída." sqref="E9:E39" xr:uid="{84D7C5CE-4D94-4271-B17F-E8B744B1B385}">
      <formula1>0.0000115740740740741</formula1>
      <formula2>0.999988425925926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7" r:id="rId4" name="comboBoxMeses">
          <controlPr defaultSize="0" autoLine="0" listFillRange="Dados!B2:B14" r:id="rId5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381000</xdr:colOff>
                <xdr:row>5</xdr:row>
                <xdr:rowOff>238125</xdr:rowOff>
              </to>
            </anchor>
          </controlPr>
        </control>
      </mc:Choice>
      <mc:Fallback>
        <control shapeId="1097" r:id="rId4" name="comboBoxMeses"/>
      </mc:Fallback>
    </mc:AlternateContent>
    <mc:AlternateContent xmlns:mc="http://schemas.openxmlformats.org/markup-compatibility/2006">
      <mc:Choice Requires="x14">
        <control shapeId="1096" r:id="rId6" name="comboBoxJustificativas">
          <controlPr defaultSize="0" autoLine="0" listFillRange="Dados!E2:E6" r:id="rId7">
            <anchor moveWithCells="1">
              <from>
                <xdr:col>12</xdr:col>
                <xdr:colOff>0</xdr:colOff>
                <xdr:row>5</xdr:row>
                <xdr:rowOff>219075</xdr:rowOff>
              </from>
              <to>
                <xdr:col>14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96" r:id="rId6" name="comboBoxJustificativ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D2F9-6C3F-4188-AB4B-6D34B9365A46}">
  <sheetPr codeName="plan2"/>
  <dimension ref="A1:E18"/>
  <sheetViews>
    <sheetView workbookViewId="0">
      <selection activeCell="F6" sqref="F6"/>
    </sheetView>
  </sheetViews>
  <sheetFormatPr defaultRowHeight="15" x14ac:dyDescent="0.25"/>
  <cols>
    <col min="1" max="1" width="12.5703125" bestFit="1" customWidth="1"/>
    <col min="2" max="2" width="10.42578125" bestFit="1" customWidth="1"/>
    <col min="3" max="3" width="9" bestFit="1" customWidth="1"/>
    <col min="4" max="4" width="9.85546875" customWidth="1"/>
    <col min="5" max="5" width="9" bestFit="1" customWidth="1"/>
  </cols>
  <sheetData>
    <row r="1" spans="1:5" x14ac:dyDescent="0.25">
      <c r="A1" s="86" t="s">
        <v>5</v>
      </c>
      <c r="B1" s="86"/>
      <c r="D1" s="86" t="s">
        <v>51</v>
      </c>
      <c r="E1" s="86"/>
    </row>
    <row r="2" spans="1:5" x14ac:dyDescent="0.25">
      <c r="A2">
        <v>0</v>
      </c>
      <c r="B2" t="s">
        <v>52</v>
      </c>
      <c r="D2">
        <v>0</v>
      </c>
      <c r="E2" t="s">
        <v>50</v>
      </c>
    </row>
    <row r="3" spans="1:5" x14ac:dyDescent="0.25">
      <c r="A3">
        <v>1</v>
      </c>
      <c r="B3" t="s">
        <v>6</v>
      </c>
      <c r="D3">
        <v>1</v>
      </c>
      <c r="E3" t="s">
        <v>41</v>
      </c>
    </row>
    <row r="4" spans="1:5" x14ac:dyDescent="0.25">
      <c r="A4">
        <v>2</v>
      </c>
      <c r="B4" t="s">
        <v>7</v>
      </c>
      <c r="D4">
        <v>2</v>
      </c>
      <c r="E4" t="s">
        <v>40</v>
      </c>
    </row>
    <row r="5" spans="1:5" x14ac:dyDescent="0.25">
      <c r="A5">
        <v>3</v>
      </c>
      <c r="B5" t="s">
        <v>8</v>
      </c>
      <c r="D5">
        <v>3</v>
      </c>
      <c r="E5" t="s">
        <v>39</v>
      </c>
    </row>
    <row r="6" spans="1:5" x14ac:dyDescent="0.25">
      <c r="A6">
        <v>4</v>
      </c>
      <c r="B6" t="s">
        <v>9</v>
      </c>
      <c r="D6">
        <v>4</v>
      </c>
      <c r="E6" t="s">
        <v>54</v>
      </c>
    </row>
    <row r="7" spans="1:5" x14ac:dyDescent="0.25">
      <c r="A7">
        <v>5</v>
      </c>
      <c r="B7" t="s">
        <v>10</v>
      </c>
    </row>
    <row r="8" spans="1:5" x14ac:dyDescent="0.25">
      <c r="A8">
        <v>6</v>
      </c>
      <c r="B8" t="s">
        <v>11</v>
      </c>
    </row>
    <row r="9" spans="1:5" x14ac:dyDescent="0.25">
      <c r="A9">
        <v>7</v>
      </c>
      <c r="B9" t="s">
        <v>12</v>
      </c>
    </row>
    <row r="10" spans="1:5" x14ac:dyDescent="0.25">
      <c r="A10">
        <v>8</v>
      </c>
      <c r="B10" t="s">
        <v>13</v>
      </c>
    </row>
    <row r="11" spans="1:5" x14ac:dyDescent="0.25">
      <c r="A11">
        <v>9</v>
      </c>
      <c r="B11" t="s">
        <v>14</v>
      </c>
    </row>
    <row r="12" spans="1:5" x14ac:dyDescent="0.25">
      <c r="A12">
        <v>10</v>
      </c>
      <c r="B12" t="s">
        <v>15</v>
      </c>
    </row>
    <row r="13" spans="1:5" x14ac:dyDescent="0.25">
      <c r="A13">
        <v>11</v>
      </c>
      <c r="B13" t="s">
        <v>16</v>
      </c>
    </row>
    <row r="14" spans="1:5" x14ac:dyDescent="0.25">
      <c r="A14">
        <v>12</v>
      </c>
      <c r="B14" t="s">
        <v>17</v>
      </c>
    </row>
    <row r="17" spans="1:1" x14ac:dyDescent="0.25">
      <c r="A17" t="s">
        <v>47</v>
      </c>
    </row>
    <row r="18" spans="1:1" x14ac:dyDescent="0.25">
      <c r="A18" s="17">
        <v>0.33333333333333331</v>
      </c>
    </row>
  </sheetData>
  <mergeCells count="2">
    <mergeCell ref="D1:E1"/>
    <mergeCell ref="A1:B1"/>
  </mergeCells>
  <phoneticPr fontId="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Controle de Ponto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Dângelo Fernandes de Oliveira</dc:creator>
  <cp:lastModifiedBy>Dângelo Fernandes de Oliveira</cp:lastModifiedBy>
  <dcterms:created xsi:type="dcterms:W3CDTF">2021-04-04T15:18:59Z</dcterms:created>
  <dcterms:modified xsi:type="dcterms:W3CDTF">2021-04-05T02:59:08Z</dcterms:modified>
</cp:coreProperties>
</file>